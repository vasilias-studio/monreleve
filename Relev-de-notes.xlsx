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esar\OneDrive\Bureau\CV\"/>
    </mc:Choice>
  </mc:AlternateContent>
  <bookViews>
    <workbookView xWindow="0" yWindow="0" windowWidth="20490" windowHeight="7530"/>
  </bookViews>
  <sheets>
    <sheet name="Feuil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2" l="1"/>
  <c r="E46" i="2"/>
  <c r="E47" i="2"/>
  <c r="E48" i="2"/>
  <c r="E49" i="2"/>
  <c r="E41" i="2"/>
  <c r="E42" i="2"/>
  <c r="E43" i="2"/>
  <c r="E44" i="2"/>
  <c r="E40" i="2"/>
  <c r="E35" i="2"/>
  <c r="E36" i="2"/>
  <c r="E37" i="2"/>
  <c r="E38" i="2"/>
  <c r="E34" i="2"/>
  <c r="E27" i="2"/>
  <c r="E28" i="2"/>
  <c r="E29" i="2"/>
  <c r="E26" i="2"/>
  <c r="E22" i="2"/>
  <c r="E23" i="2"/>
  <c r="E24" i="2"/>
  <c r="E21" i="2"/>
  <c r="E18" i="2"/>
  <c r="E19" i="2"/>
  <c r="E17" i="2"/>
  <c r="E15" i="2"/>
  <c r="E13" i="2"/>
  <c r="E14" i="2"/>
  <c r="E12" i="2"/>
  <c r="F48" i="2"/>
  <c r="F42" i="2"/>
  <c r="F43" i="2"/>
  <c r="F36" i="2"/>
  <c r="F37" i="2"/>
  <c r="F35" i="2"/>
  <c r="C39" i="2" a="1"/>
  <c r="C39" i="2" s="1"/>
  <c r="F47" i="2" l="1"/>
  <c r="F12" i="2"/>
  <c r="F27" i="2" l="1"/>
  <c r="F49" i="2"/>
  <c r="F46" i="2"/>
  <c r="F41" i="2"/>
  <c r="F44" i="2"/>
  <c r="F40" i="2"/>
  <c r="F38" i="2"/>
  <c r="F34" i="2"/>
  <c r="F29" i="2"/>
  <c r="F28" i="2"/>
  <c r="F26" i="2"/>
  <c r="F22" i="2"/>
  <c r="F23" i="2"/>
  <c r="F24" i="2"/>
  <c r="F21" i="2"/>
  <c r="F18" i="2"/>
  <c r="F19" i="2"/>
  <c r="F17" i="2"/>
  <c r="F13" i="2"/>
  <c r="F14" i="2"/>
  <c r="C50" i="2" l="1" a="1"/>
  <c r="C50" i="2" s="1"/>
  <c r="C45" i="2" a="1"/>
  <c r="C45" i="2" s="1"/>
  <c r="C30" i="2" a="1"/>
  <c r="C30" i="2" s="1"/>
  <c r="C25" i="2" a="1"/>
  <c r="C25" i="2" s="1"/>
  <c r="C20" i="2" a="1"/>
  <c r="C20" i="2" s="1"/>
  <c r="C16" i="2" a="1"/>
  <c r="C16" i="2" s="1"/>
  <c r="C51" i="2" l="1"/>
  <c r="F16" i="2"/>
  <c r="F20" i="2"/>
  <c r="F25" i="2"/>
  <c r="F30" i="2"/>
  <c r="F39" i="2"/>
  <c r="F45" i="2"/>
  <c r="F50" i="2"/>
  <c r="F51" i="2" l="1"/>
  <c r="F31" i="2"/>
  <c r="C31" i="2"/>
</calcChain>
</file>

<file path=xl/sharedStrings.xml><?xml version="1.0" encoding="utf-8"?>
<sst xmlns="http://schemas.openxmlformats.org/spreadsheetml/2006/main" count="46" uniqueCount="46">
  <si>
    <t>Matières</t>
  </si>
  <si>
    <t>Cédit</t>
  </si>
  <si>
    <t>Repechage</t>
  </si>
  <si>
    <t>Normal</t>
  </si>
  <si>
    <t>Note</t>
  </si>
  <si>
    <t>Français des Affaires</t>
  </si>
  <si>
    <t>Professionnal English and correspondance</t>
  </si>
  <si>
    <t>Administration du personnel</t>
  </si>
  <si>
    <t>Base de la négociation</t>
  </si>
  <si>
    <t>Macro économie</t>
  </si>
  <si>
    <t>Management</t>
  </si>
  <si>
    <t>Droit du crédit et des suretés</t>
  </si>
  <si>
    <t>Droit des sociétés et des marques</t>
  </si>
  <si>
    <t>Finances publiques</t>
  </si>
  <si>
    <t>Relation internationales et base de la géopolitique</t>
  </si>
  <si>
    <t xml:space="preserve">Gestion prévisionnelle et financière </t>
  </si>
  <si>
    <t>Comptabilité publique et plan comptable des opérations publiques</t>
  </si>
  <si>
    <t>Mathématiques financier avancées</t>
  </si>
  <si>
    <t>Probabilités et statistiques approfondies</t>
  </si>
  <si>
    <t>Marketing opérationnel</t>
  </si>
  <si>
    <t>Total quality management</t>
  </si>
  <si>
    <t>Techinques douanières</t>
  </si>
  <si>
    <t>Parcours professionnel et gestion de carrière</t>
  </si>
  <si>
    <t>Recherche opérationnelle approfondie</t>
  </si>
  <si>
    <t>Communication en Entreprise</t>
  </si>
  <si>
    <t>Techniques bancaires</t>
  </si>
  <si>
    <t>Comptabilité des sociétés</t>
  </si>
  <si>
    <t>Plans comptables des établissements de crédit et bancaires</t>
  </si>
  <si>
    <t>Informatique appliquée à la gestion</t>
  </si>
  <si>
    <t>Jeux d'entreprise : objectif performance</t>
  </si>
  <si>
    <t>Responsabilité sociale des entreprises</t>
  </si>
  <si>
    <t>Stage d'exploitation et mémoire professionnelle de synthèse</t>
  </si>
  <si>
    <t>Définitive</t>
  </si>
  <si>
    <t>SEMESTRE 3</t>
  </si>
  <si>
    <t>Moyenne UE 9</t>
  </si>
  <si>
    <t>Moyenne UE 10</t>
  </si>
  <si>
    <t>Moyenne UE 11</t>
  </si>
  <si>
    <t>Moyenne UE 12</t>
  </si>
  <si>
    <t>MOYENNE S3</t>
  </si>
  <si>
    <t>SEMESTRE 4</t>
  </si>
  <si>
    <t>Moyenne UE 13</t>
  </si>
  <si>
    <t>Moyenne UE 14</t>
  </si>
  <si>
    <t>Moyenne UE 15</t>
  </si>
  <si>
    <t>MOYENNE S4</t>
  </si>
  <si>
    <t>Entrepreneurship et culture entrepreneuriale</t>
  </si>
  <si>
    <t>Techniques des assurances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</si>
</sst>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2E9D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F814B"/>
        <bgColor indexed="64"/>
      </patternFill>
    </fill>
    <fill>
      <patternFill patternType="solid">
        <fgColor rgb="FF8C7956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3" xfId="0" applyBorder="1"/>
    <xf numFmtId="0" fontId="0" fillId="0" borderId="1" xfId="0" applyBorder="1"/>
    <xf numFmtId="0" fontId="0" fillId="0" borderId="0" xfId="0" applyBorder="1"/>
    <xf numFmtId="0" fontId="0" fillId="0" borderId="5" xfId="0" applyBorder="1"/>
    <xf numFmtId="0" fontId="1" fillId="2" borderId="8" xfId="0" applyFont="1" applyFill="1" applyBorder="1"/>
    <xf numFmtId="2" fontId="0" fillId="6" borderId="3" xfId="0" applyNumberFormat="1" applyFill="1" applyBorder="1"/>
    <xf numFmtId="2" fontId="0" fillId="3" borderId="3" xfId="0" applyNumberFormat="1" applyFill="1" applyBorder="1"/>
    <xf numFmtId="2" fontId="0" fillId="4" borderId="3" xfId="0" applyNumberFormat="1" applyFill="1" applyBorder="1"/>
    <xf numFmtId="2" fontId="0" fillId="0" borderId="4" xfId="0" applyNumberFormat="1" applyBorder="1"/>
    <xf numFmtId="2" fontId="0" fillId="0" borderId="10" xfId="0" applyNumberFormat="1" applyBorder="1"/>
    <xf numFmtId="0" fontId="0" fillId="0" borderId="0" xfId="0" applyFill="1"/>
    <xf numFmtId="0" fontId="0" fillId="0" borderId="9" xfId="0" applyBorder="1"/>
    <xf numFmtId="0" fontId="0" fillId="0" borderId="0" xfId="0" applyFill="1" applyBorder="1"/>
    <xf numFmtId="0" fontId="7" fillId="0" borderId="2" xfId="0" applyFont="1" applyFill="1" applyBorder="1"/>
    <xf numFmtId="2" fontId="2" fillId="0" borderId="2" xfId="0" applyNumberFormat="1" applyFont="1" applyFill="1" applyBorder="1"/>
    <xf numFmtId="0" fontId="1" fillId="2" borderId="4" xfId="0" applyFont="1" applyFill="1" applyBorder="1"/>
    <xf numFmtId="0" fontId="1" fillId="0" borderId="0" xfId="0" applyFont="1" applyFill="1" applyBorder="1"/>
    <xf numFmtId="0" fontId="0" fillId="0" borderId="15" xfId="0" applyBorder="1"/>
    <xf numFmtId="0" fontId="6" fillId="7" borderId="9" xfId="0" applyFont="1" applyFill="1" applyBorder="1"/>
    <xf numFmtId="2" fontId="0" fillId="7" borderId="9" xfId="0" applyNumberFormat="1" applyFill="1" applyBorder="1"/>
    <xf numFmtId="2" fontId="0" fillId="7" borderId="4" xfId="0" applyNumberFormat="1" applyFill="1" applyBorder="1"/>
    <xf numFmtId="0" fontId="6" fillId="7" borderId="10" xfId="0" applyFont="1" applyFill="1" applyBorder="1"/>
    <xf numFmtId="2" fontId="0" fillId="7" borderId="10" xfId="0" applyNumberFormat="1" applyFill="1" applyBorder="1"/>
    <xf numFmtId="2" fontId="0" fillId="7" borderId="3" xfId="0" applyNumberFormat="1" applyFill="1" applyBorder="1"/>
    <xf numFmtId="0" fontId="1" fillId="9" borderId="10" xfId="0" applyFont="1" applyFill="1" applyBorder="1"/>
    <xf numFmtId="0" fontId="7" fillId="10" borderId="11" xfId="0" applyFont="1" applyFill="1" applyBorder="1" applyAlignment="1">
      <alignment horizontal="right"/>
    </xf>
    <xf numFmtId="0" fontId="4" fillId="8" borderId="7" xfId="0" applyFont="1" applyFill="1" applyBorder="1"/>
    <xf numFmtId="0" fontId="4" fillId="8" borderId="6" xfId="0" applyFont="1" applyFill="1" applyBorder="1"/>
    <xf numFmtId="0" fontId="3" fillId="8" borderId="6" xfId="0" applyFont="1" applyFill="1" applyBorder="1"/>
    <xf numFmtId="0" fontId="1" fillId="9" borderId="11" xfId="0" applyFont="1" applyFill="1" applyBorder="1"/>
    <xf numFmtId="2" fontId="2" fillId="0" borderId="13" xfId="0" applyNumberFormat="1" applyFont="1" applyBorder="1" applyAlignment="1">
      <alignment horizontal="right"/>
    </xf>
    <xf numFmtId="2" fontId="2" fillId="0" borderId="1" xfId="0" applyNumberFormat="1" applyFont="1" applyBorder="1" applyAlignment="1">
      <alignment horizontal="right"/>
    </xf>
    <xf numFmtId="2" fontId="2" fillId="0" borderId="5" xfId="0" applyNumberFormat="1" applyFont="1" applyBorder="1" applyAlignment="1">
      <alignment horizontal="right"/>
    </xf>
    <xf numFmtId="2" fontId="2" fillId="0" borderId="7" xfId="0" applyNumberFormat="1" applyFont="1" applyBorder="1" applyAlignment="1">
      <alignment horizontal="right"/>
    </xf>
    <xf numFmtId="2" fontId="2" fillId="0" borderId="14" xfId="0" applyNumberFormat="1" applyFont="1" applyBorder="1" applyAlignment="1">
      <alignment horizontal="right"/>
    </xf>
    <xf numFmtId="2" fontId="2" fillId="0" borderId="8" xfId="0" applyNumberFormat="1" applyFont="1" applyBorder="1" applyAlignment="1">
      <alignment horizontal="right"/>
    </xf>
    <xf numFmtId="0" fontId="4" fillId="8" borderId="9" xfId="0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0" fontId="3" fillId="8" borderId="4" xfId="0" applyFont="1" applyFill="1" applyBorder="1" applyAlignment="1">
      <alignment horizontal="center"/>
    </xf>
    <xf numFmtId="0" fontId="5" fillId="10" borderId="12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0" fontId="5" fillId="10" borderId="4" xfId="0" applyFont="1" applyFill="1" applyBorder="1" applyAlignment="1">
      <alignment horizontal="center" vertical="center"/>
    </xf>
    <xf numFmtId="0" fontId="5" fillId="10" borderId="10" xfId="0" applyFont="1" applyFill="1" applyBorder="1" applyAlignment="1">
      <alignment horizontal="center"/>
    </xf>
    <xf numFmtId="0" fontId="5" fillId="10" borderId="3" xfId="0" applyFont="1" applyFill="1" applyBorder="1" applyAlignment="1">
      <alignment horizontal="center"/>
    </xf>
    <xf numFmtId="0" fontId="5" fillId="10" borderId="0" xfId="0" applyFont="1" applyFill="1" applyBorder="1" applyAlignment="1">
      <alignment horizontal="center"/>
    </xf>
    <xf numFmtId="2" fontId="0" fillId="5" borderId="10" xfId="0" applyNumberFormat="1" applyFill="1" applyBorder="1" applyAlignment="1"/>
    <xf numFmtId="2" fontId="0" fillId="5" borderId="9" xfId="0" applyNumberFormat="1" applyFill="1" applyBorder="1" applyAlignment="1"/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2E9D8"/>
      <color rgb="FF8C7956"/>
      <color rgb="FFBF814B"/>
      <color rgb="FF66CCFF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676275</xdr:colOff>
      <xdr:row>2</xdr:row>
      <xdr:rowOff>127400</xdr:rowOff>
    </xdr:from>
    <xdr:to>
      <xdr:col>1</xdr:col>
      <xdr:colOff>2400300</xdr:colOff>
      <xdr:row>8</xdr:row>
      <xdr:rowOff>187745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6275" y="508400"/>
          <a:ext cx="2657475" cy="12033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51"/>
  <sheetViews>
    <sheetView tabSelected="1" zoomScaleNormal="100" zoomScalePageLayoutView="64" workbookViewId="0">
      <selection activeCell="D13" sqref="D13"/>
    </sheetView>
  </sheetViews>
  <sheetFormatPr baseColWidth="10" defaultRowHeight="15" x14ac:dyDescent="0.25"/>
  <cols>
    <col min="1" max="1" width="14" customWidth="1"/>
    <col min="2" max="2" width="60.28515625" bestFit="1" customWidth="1"/>
    <col min="3" max="3" width="9.7109375" bestFit="1" customWidth="1"/>
    <col min="4" max="4" width="13.7109375" bestFit="1" customWidth="1"/>
    <col min="5" max="5" width="12.5703125" bestFit="1" customWidth="1"/>
    <col min="6" max="6" width="7.28515625" customWidth="1"/>
    <col min="7" max="7" width="20.85546875" customWidth="1"/>
  </cols>
  <sheetData>
    <row r="2" spans="1:7" x14ac:dyDescent="0.25">
      <c r="B2" s="3"/>
      <c r="C2" s="3"/>
      <c r="D2" s="3"/>
      <c r="E2" s="3"/>
      <c r="F2" s="3"/>
    </row>
    <row r="3" spans="1:7" x14ac:dyDescent="0.25">
      <c r="B3" s="3"/>
      <c r="C3" s="3"/>
      <c r="D3" s="3"/>
      <c r="E3" s="3"/>
      <c r="F3" s="3"/>
    </row>
    <row r="7" spans="1:7" x14ac:dyDescent="0.25">
      <c r="A7" s="3"/>
      <c r="B7" s="3"/>
      <c r="C7" s="3"/>
      <c r="D7" s="3"/>
      <c r="E7" s="3"/>
      <c r="F7" s="3"/>
      <c r="G7" s="3"/>
    </row>
    <row r="8" spans="1:7" x14ac:dyDescent="0.25">
      <c r="B8" s="2"/>
      <c r="C8" s="2"/>
      <c r="D8" s="2"/>
      <c r="E8" s="2"/>
      <c r="F8" s="2"/>
      <c r="G8" s="3"/>
    </row>
    <row r="9" spans="1:7" ht="18.75" x14ac:dyDescent="0.3">
      <c r="B9" s="37" t="s">
        <v>0</v>
      </c>
      <c r="C9" s="39" t="s">
        <v>4</v>
      </c>
      <c r="D9" s="40"/>
      <c r="E9" s="40"/>
      <c r="F9" s="41"/>
      <c r="G9" s="3"/>
    </row>
    <row r="10" spans="1:7" ht="18.75" x14ac:dyDescent="0.3">
      <c r="B10" s="38"/>
      <c r="C10" s="27" t="s">
        <v>3</v>
      </c>
      <c r="D10" s="28" t="s">
        <v>2</v>
      </c>
      <c r="E10" s="28" t="s">
        <v>32</v>
      </c>
      <c r="F10" s="29" t="s">
        <v>1</v>
      </c>
      <c r="G10" s="18"/>
    </row>
    <row r="11" spans="1:7" ht="18.75" x14ac:dyDescent="0.25">
      <c r="B11" s="42" t="s">
        <v>33</v>
      </c>
      <c r="C11" s="43"/>
      <c r="D11" s="43"/>
      <c r="E11" s="43"/>
      <c r="F11" s="44"/>
      <c r="G11" s="3"/>
    </row>
    <row r="12" spans="1:7" x14ac:dyDescent="0.25">
      <c r="B12" s="19" t="s">
        <v>5</v>
      </c>
      <c r="C12" s="20"/>
      <c r="D12" s="21"/>
      <c r="E12" s="49" t="str">
        <f>IF(MAX(C12,D12)=0,"-",MAX(C12,D12))</f>
        <v>-</v>
      </c>
      <c r="F12" s="12" t="str">
        <f>IF(C12&gt;=10, 2, "-")</f>
        <v>-</v>
      </c>
    </row>
    <row r="13" spans="1:7" x14ac:dyDescent="0.25">
      <c r="B13" s="22" t="s">
        <v>44</v>
      </c>
      <c r="C13" s="23"/>
      <c r="D13" s="23"/>
      <c r="E13" s="48" t="str">
        <f t="shared" ref="E13:E14" si="0">IF(MAX(C13,D13)=0,"-",MAX(C13,D13))</f>
        <v>-</v>
      </c>
      <c r="F13" s="1" t="str">
        <f>IF(C13&gt;=10, 2, "-")</f>
        <v>-</v>
      </c>
    </row>
    <row r="14" spans="1:7" x14ac:dyDescent="0.25">
      <c r="B14" s="22" t="s">
        <v>6</v>
      </c>
      <c r="C14" s="23"/>
      <c r="D14" s="23"/>
      <c r="E14" s="48" t="str">
        <f t="shared" si="0"/>
        <v>-</v>
      </c>
      <c r="F14" s="1" t="str">
        <f>IF(C14&gt;=10, 2, "-")</f>
        <v>-</v>
      </c>
    </row>
    <row r="15" spans="1:7" x14ac:dyDescent="0.25">
      <c r="B15" s="22" t="s">
        <v>7</v>
      </c>
      <c r="C15" s="23"/>
      <c r="D15" s="23"/>
      <c r="E15" s="48" t="str">
        <f>IF(MAX(C15,D15)=0,"-",MAX(C15,D15))</f>
        <v>-</v>
      </c>
      <c r="F15" s="1" t="str">
        <f>IF(C15&gt;=10, 2, "-")</f>
        <v>-</v>
      </c>
    </row>
    <row r="16" spans="1:7" x14ac:dyDescent="0.25">
      <c r="B16" s="30" t="s">
        <v>34</v>
      </c>
      <c r="C16" s="31" t="e">
        <f t="array" ref="C16">AVERAGE(IF((C12:C15&lt;&gt;"")+(D12:D15&lt;&gt;"")&gt;0,IF(C12:C15&gt;D12:D15, C12:C15, D12:D15)))</f>
        <v>#DIV/0!</v>
      </c>
      <c r="D16" s="32"/>
      <c r="E16" s="33"/>
      <c r="F16" s="4">
        <f>SUM(F12:F15)</f>
        <v>0</v>
      </c>
    </row>
    <row r="17" spans="2:7" x14ac:dyDescent="0.25">
      <c r="B17" s="22" t="s">
        <v>8</v>
      </c>
      <c r="C17" s="23"/>
      <c r="D17" s="24"/>
      <c r="E17" s="6" t="str">
        <f>IF(MAX(C17,D17)=0,"-",MAX(C17,D17))</f>
        <v>-</v>
      </c>
      <c r="F17" s="1" t="str">
        <f>IF(C17&gt;=10, 2, "-")</f>
        <v>-</v>
      </c>
    </row>
    <row r="18" spans="2:7" x14ac:dyDescent="0.25">
      <c r="B18" s="22" t="s">
        <v>9</v>
      </c>
      <c r="C18" s="23"/>
      <c r="D18" s="24"/>
      <c r="E18" s="6" t="str">
        <f t="shared" ref="E18:E19" si="1">IF(MAX(C18,D18)=0,"-",MAX(C18,D18))</f>
        <v>-</v>
      </c>
      <c r="F18" s="1" t="str">
        <f t="shared" ref="F18:F19" si="2">IF(C18&gt;=10, 2, "-")</f>
        <v>-</v>
      </c>
    </row>
    <row r="19" spans="2:7" x14ac:dyDescent="0.25">
      <c r="B19" s="22" t="s">
        <v>10</v>
      </c>
      <c r="C19" s="23"/>
      <c r="D19" s="24"/>
      <c r="E19" s="6" t="str">
        <f t="shared" si="1"/>
        <v>-</v>
      </c>
      <c r="F19" s="1" t="str">
        <f t="shared" si="2"/>
        <v>-</v>
      </c>
    </row>
    <row r="20" spans="2:7" x14ac:dyDescent="0.25">
      <c r="B20" s="30" t="s">
        <v>35</v>
      </c>
      <c r="C20" s="31" t="e">
        <f t="array" ref="C20">AVERAGE(IF((C17:C19&lt;&gt;"")+(D17:D19&lt;&gt;"")&gt;0,IF(C17:C19&gt;D17:D19, C17:C19, D17:D19)))</f>
        <v>#DIV/0!</v>
      </c>
      <c r="D20" s="32"/>
      <c r="E20" s="33"/>
      <c r="F20" s="4">
        <f>SUM(F17:F19)</f>
        <v>0</v>
      </c>
    </row>
    <row r="21" spans="2:7" x14ac:dyDescent="0.25">
      <c r="B21" s="22" t="s">
        <v>11</v>
      </c>
      <c r="C21" s="23"/>
      <c r="D21" s="24"/>
      <c r="E21" s="7" t="str">
        <f>IF(MAX(C21,D21)=0,"-",MAX(C21,D21))</f>
        <v>-</v>
      </c>
      <c r="F21" s="1" t="str">
        <f>IF(C21&gt;=10, 2, "-")</f>
        <v>-</v>
      </c>
    </row>
    <row r="22" spans="2:7" x14ac:dyDescent="0.25">
      <c r="B22" s="22" t="s">
        <v>12</v>
      </c>
      <c r="C22" s="23"/>
      <c r="D22" s="24"/>
      <c r="E22" s="7" t="str">
        <f t="shared" ref="E22:E24" si="3">IF(MAX(C22,D22)=0,"-",MAX(C22,D22))</f>
        <v>-</v>
      </c>
      <c r="F22" s="1" t="str">
        <f t="shared" ref="F22:F24" si="4">IF(C22&gt;=10, 2, "-")</f>
        <v>-</v>
      </c>
    </row>
    <row r="23" spans="2:7" ht="16.5" customHeight="1" x14ac:dyDescent="0.25">
      <c r="B23" s="22" t="s">
        <v>13</v>
      </c>
      <c r="C23" s="23"/>
      <c r="D23" s="24"/>
      <c r="E23" s="7" t="str">
        <f t="shared" si="3"/>
        <v>-</v>
      </c>
      <c r="F23" s="1" t="str">
        <f t="shared" si="4"/>
        <v>-</v>
      </c>
    </row>
    <row r="24" spans="2:7" x14ac:dyDescent="0.25">
      <c r="B24" s="22" t="s">
        <v>14</v>
      </c>
      <c r="C24" s="23"/>
      <c r="D24" s="24"/>
      <c r="E24" s="7" t="str">
        <f t="shared" si="3"/>
        <v>-</v>
      </c>
      <c r="F24" s="1" t="str">
        <f t="shared" si="4"/>
        <v>-</v>
      </c>
    </row>
    <row r="25" spans="2:7" x14ac:dyDescent="0.25">
      <c r="B25" s="30" t="s">
        <v>36</v>
      </c>
      <c r="C25" s="31" t="e">
        <f t="array" ref="C25">AVERAGE(IF((C21:C24&lt;&gt;"")+(D21:D24&lt;&gt;"")&gt;0,IF(C21:C24&gt;D21:D24, C21:C24, D21:D24)))</f>
        <v>#DIV/0!</v>
      </c>
      <c r="D25" s="32"/>
      <c r="E25" s="33"/>
      <c r="F25" s="4">
        <f>SUM(F21:F24)</f>
        <v>0</v>
      </c>
    </row>
    <row r="26" spans="2:7" x14ac:dyDescent="0.25">
      <c r="B26" s="22" t="s">
        <v>15</v>
      </c>
      <c r="C26" s="23"/>
      <c r="D26" s="24"/>
      <c r="E26" s="8" t="str">
        <f>IF(MAX(C26,D26)=0,"-",MAX(C26,D26))</f>
        <v>-</v>
      </c>
      <c r="F26" s="1" t="str">
        <f>IF(C26&gt;=10, 2, "-")</f>
        <v>-</v>
      </c>
    </row>
    <row r="27" spans="2:7" x14ac:dyDescent="0.25">
      <c r="B27" s="22" t="s">
        <v>16</v>
      </c>
      <c r="C27" s="23"/>
      <c r="D27" s="24"/>
      <c r="E27" s="8" t="str">
        <f t="shared" ref="E27:E29" si="5">IF(MAX(C27,D27)=0,"-",MAX(C27,D27))</f>
        <v>-</v>
      </c>
      <c r="F27" s="1" t="str">
        <f>IF(C27&gt;=10, 1, "-")</f>
        <v>-</v>
      </c>
    </row>
    <row r="28" spans="2:7" x14ac:dyDescent="0.25">
      <c r="B28" s="22" t="s">
        <v>17</v>
      </c>
      <c r="C28" s="23"/>
      <c r="D28" s="24"/>
      <c r="E28" s="8" t="str">
        <f t="shared" si="5"/>
        <v>-</v>
      </c>
      <c r="F28" s="1" t="str">
        <f t="shared" ref="F28" si="6">IF(C28&gt;=10, 2, "-")</f>
        <v>-</v>
      </c>
    </row>
    <row r="29" spans="2:7" x14ac:dyDescent="0.25">
      <c r="B29" s="22" t="s">
        <v>18</v>
      </c>
      <c r="C29" s="23"/>
      <c r="D29" s="24"/>
      <c r="E29" s="8" t="str">
        <f t="shared" si="5"/>
        <v>-</v>
      </c>
      <c r="F29" s="1" t="str">
        <f>IF(C29&gt;=10, 2, "-")</f>
        <v>-</v>
      </c>
    </row>
    <row r="30" spans="2:7" x14ac:dyDescent="0.25">
      <c r="B30" s="25" t="s">
        <v>37</v>
      </c>
      <c r="C30" s="31" t="e">
        <f t="array" ref="C30">AVERAGE(IF((C26:C29&lt;&gt;"")+(D26:D29&lt;&gt;"")&gt;0,IF(C26:C29&gt;D26:D29, C26:C29, D26:D29)))</f>
        <v>#DIV/0!</v>
      </c>
      <c r="D30" s="32"/>
      <c r="E30" s="33"/>
      <c r="F30" s="4">
        <f>SUM(F26:F29)</f>
        <v>0</v>
      </c>
    </row>
    <row r="31" spans="2:7" ht="15.75" x14ac:dyDescent="0.25">
      <c r="B31" s="26" t="s">
        <v>38</v>
      </c>
      <c r="C31" s="34" t="e">
        <f>AVERAGE(C16,C20,C25,C30)</f>
        <v>#DIV/0!</v>
      </c>
      <c r="D31" s="35"/>
      <c r="E31" s="36"/>
      <c r="F31" s="16">
        <f>SUM(F16,F20,F25,F30)</f>
        <v>0</v>
      </c>
    </row>
    <row r="32" spans="2:7" s="11" customFormat="1" ht="15.75" x14ac:dyDescent="0.25">
      <c r="B32" s="14"/>
      <c r="C32" s="15"/>
      <c r="D32" s="15"/>
      <c r="E32" s="15"/>
      <c r="F32" s="17"/>
      <c r="G32" s="13"/>
    </row>
    <row r="33" spans="2:6" ht="18.75" x14ac:dyDescent="0.3">
      <c r="B33" s="45" t="s">
        <v>39</v>
      </c>
      <c r="C33" s="46"/>
      <c r="D33" s="46"/>
      <c r="E33" s="46"/>
      <c r="F33" s="47"/>
    </row>
    <row r="34" spans="2:6" x14ac:dyDescent="0.25">
      <c r="B34" s="19" t="s">
        <v>19</v>
      </c>
      <c r="C34" s="20"/>
      <c r="D34" s="21"/>
      <c r="E34" s="9" t="str">
        <f>IF(MAX(C34,D34)=0,"-",MAX(C34,D34))</f>
        <v>-</v>
      </c>
      <c r="F34" s="12" t="str">
        <f>IF(C34&gt;=10, 2, "-")</f>
        <v>-</v>
      </c>
    </row>
    <row r="35" spans="2:6" x14ac:dyDescent="0.25">
      <c r="B35" s="22" t="s">
        <v>20</v>
      </c>
      <c r="C35" s="23"/>
      <c r="D35" s="23"/>
      <c r="E35" s="10" t="str">
        <f t="shared" ref="E35:E38" si="7">IF(MAX(C35,D35)=0,"-",MAX(C35,D35))</f>
        <v>-</v>
      </c>
      <c r="F35" s="1" t="str">
        <f>IF(C35&gt;=10, 2, "-")</f>
        <v>-</v>
      </c>
    </row>
    <row r="36" spans="2:6" x14ac:dyDescent="0.25">
      <c r="B36" s="22" t="s">
        <v>21</v>
      </c>
      <c r="C36" s="23"/>
      <c r="D36" s="23"/>
      <c r="E36" s="10" t="str">
        <f t="shared" si="7"/>
        <v>-</v>
      </c>
      <c r="F36" s="1" t="str">
        <f>IF(C36&gt;=10, 2, "-")</f>
        <v>-</v>
      </c>
    </row>
    <row r="37" spans="2:6" x14ac:dyDescent="0.25">
      <c r="B37" s="22" t="s">
        <v>22</v>
      </c>
      <c r="C37" s="23"/>
      <c r="D37" s="23"/>
      <c r="E37" s="10" t="str">
        <f t="shared" si="7"/>
        <v>-</v>
      </c>
      <c r="F37" s="1" t="str">
        <f>IF(C37&gt;=10, 2, "-")</f>
        <v>-</v>
      </c>
    </row>
    <row r="38" spans="2:6" x14ac:dyDescent="0.25">
      <c r="B38" s="22" t="s">
        <v>23</v>
      </c>
      <c r="C38" s="23"/>
      <c r="D38" s="23"/>
      <c r="E38" s="10" t="str">
        <f t="shared" si="7"/>
        <v>-</v>
      </c>
      <c r="F38" s="1" t="str">
        <f>IF(C38&gt;=10, 2, "-")</f>
        <v>-</v>
      </c>
    </row>
    <row r="39" spans="2:6" x14ac:dyDescent="0.25">
      <c r="B39" s="30" t="s">
        <v>40</v>
      </c>
      <c r="C39" s="31" t="e">
        <f t="array" ref="C39">AVERAGE(IF((C34:C38&lt;&gt;"")+(D34:D38&lt;&gt;"")&gt;0,IF(C34:C38&gt;D34:D38, C34:C38, D34:D38)))</f>
        <v>#DIV/0!</v>
      </c>
      <c r="D39" s="32"/>
      <c r="E39" s="33"/>
      <c r="F39" s="4">
        <f>SUM(F34:F38)</f>
        <v>0</v>
      </c>
    </row>
    <row r="40" spans="2:6" x14ac:dyDescent="0.25">
      <c r="B40" s="22" t="s">
        <v>24</v>
      </c>
      <c r="C40" s="23"/>
      <c r="D40" s="24"/>
      <c r="E40" s="6" t="str">
        <f>IF(MAX(C40,D40)=0,"-",MAX(C40,D40))</f>
        <v>-</v>
      </c>
      <c r="F40" s="1" t="str">
        <f>IF(C40&gt;=10, 2, "-")</f>
        <v>-</v>
      </c>
    </row>
    <row r="41" spans="2:6" x14ac:dyDescent="0.25">
      <c r="B41" s="22" t="s">
        <v>45</v>
      </c>
      <c r="C41" s="23"/>
      <c r="D41" s="24"/>
      <c r="E41" s="6" t="str">
        <f t="shared" ref="E41:E44" si="8">IF(MAX(C41,D41)=0,"-",MAX(C41,D41))</f>
        <v>-</v>
      </c>
      <c r="F41" s="1" t="str">
        <f t="shared" ref="F41:F44" si="9">IF(C41&gt;=10, 2, "-")</f>
        <v>-</v>
      </c>
    </row>
    <row r="42" spans="2:6" x14ac:dyDescent="0.25">
      <c r="B42" s="22" t="s">
        <v>25</v>
      </c>
      <c r="C42" s="23"/>
      <c r="D42" s="24"/>
      <c r="E42" s="6" t="str">
        <f t="shared" si="8"/>
        <v>-</v>
      </c>
      <c r="F42" s="1" t="str">
        <f t="shared" si="9"/>
        <v>-</v>
      </c>
    </row>
    <row r="43" spans="2:6" x14ac:dyDescent="0.25">
      <c r="B43" s="22" t="s">
        <v>26</v>
      </c>
      <c r="C43" s="23"/>
      <c r="D43" s="24"/>
      <c r="E43" s="6" t="str">
        <f t="shared" si="8"/>
        <v>-</v>
      </c>
      <c r="F43" s="1" t="str">
        <f t="shared" si="9"/>
        <v>-</v>
      </c>
    </row>
    <row r="44" spans="2:6" x14ac:dyDescent="0.25">
      <c r="B44" s="22" t="s">
        <v>27</v>
      </c>
      <c r="C44" s="23"/>
      <c r="D44" s="24"/>
      <c r="E44" s="6" t="str">
        <f t="shared" si="8"/>
        <v>-</v>
      </c>
      <c r="F44" s="1" t="str">
        <f t="shared" si="9"/>
        <v>-</v>
      </c>
    </row>
    <row r="45" spans="2:6" x14ac:dyDescent="0.25">
      <c r="B45" s="30" t="s">
        <v>41</v>
      </c>
      <c r="C45" s="31" t="e">
        <f t="array" ref="C45">AVERAGE(IF((C40:C44&lt;&gt;"")+(D40:D44&lt;&gt;"")&gt;0,IF(C40:C44&gt;D40:D44, C40:C44, D40:D44)))</f>
        <v>#DIV/0!</v>
      </c>
      <c r="D45" s="32"/>
      <c r="E45" s="33"/>
      <c r="F45" s="4">
        <f>SUM(F40:F44)</f>
        <v>0</v>
      </c>
    </row>
    <row r="46" spans="2:6" x14ac:dyDescent="0.25">
      <c r="B46" s="22" t="s">
        <v>28</v>
      </c>
      <c r="C46" s="23"/>
      <c r="D46" s="24"/>
      <c r="E46" s="8" t="str">
        <f>IF(MAX(C46,D46)=0,"-",MAX(C46,D46))</f>
        <v>-</v>
      </c>
      <c r="F46" s="1" t="str">
        <f>IF(C46&gt;=10, 2, "-")</f>
        <v>-</v>
      </c>
    </row>
    <row r="47" spans="2:6" x14ac:dyDescent="0.25">
      <c r="B47" s="22" t="s">
        <v>29</v>
      </c>
      <c r="C47" s="23"/>
      <c r="D47" s="24"/>
      <c r="E47" s="8" t="str">
        <f t="shared" ref="E47:E49" si="10">IF(MAX(C47,D47)=0,"-",MAX(C47,D47))</f>
        <v>-</v>
      </c>
      <c r="F47" s="1" t="str">
        <f>IF(C47&gt;=10, 1, "-")</f>
        <v>-</v>
      </c>
    </row>
    <row r="48" spans="2:6" x14ac:dyDescent="0.25">
      <c r="B48" s="22" t="s">
        <v>30</v>
      </c>
      <c r="C48" s="23"/>
      <c r="D48" s="24"/>
      <c r="E48" s="8" t="str">
        <f t="shared" si="10"/>
        <v>-</v>
      </c>
      <c r="F48" s="1" t="str">
        <f>IF(C48&gt;=10, 1, "-")</f>
        <v>-</v>
      </c>
    </row>
    <row r="49" spans="2:6" x14ac:dyDescent="0.25">
      <c r="B49" s="22" t="s">
        <v>31</v>
      </c>
      <c r="C49" s="23"/>
      <c r="D49" s="24"/>
      <c r="E49" s="8" t="str">
        <f t="shared" si="10"/>
        <v>-</v>
      </c>
      <c r="F49" s="1" t="str">
        <f t="shared" ref="F49" si="11">IF(C49&gt;=10, 2, "-")</f>
        <v>-</v>
      </c>
    </row>
    <row r="50" spans="2:6" x14ac:dyDescent="0.25">
      <c r="B50" s="25" t="s">
        <v>42</v>
      </c>
      <c r="C50" s="31" t="e">
        <f t="array" ref="C50">AVERAGE(IF((C46:C49&lt;&gt;"")+(D46:D49&lt;&gt;"")&gt;0,IF(C46:C49&gt;D46:D49, C46:C49, D46:D49)))</f>
        <v>#DIV/0!</v>
      </c>
      <c r="D50" s="32"/>
      <c r="E50" s="33"/>
      <c r="F50" s="4">
        <f>SUM(F46:F49)</f>
        <v>0</v>
      </c>
    </row>
    <row r="51" spans="2:6" ht="15.75" x14ac:dyDescent="0.25">
      <c r="B51" s="26" t="s">
        <v>43</v>
      </c>
      <c r="C51" s="34" t="e">
        <f>AVERAGE(C39,C45,C50)</f>
        <v>#DIV/0!</v>
      </c>
      <c r="D51" s="35"/>
      <c r="E51" s="36"/>
      <c r="F51" s="5">
        <f>SUM(F39,F45,F50,)</f>
        <v>0</v>
      </c>
    </row>
  </sheetData>
  <mergeCells count="13">
    <mergeCell ref="C39:E39"/>
    <mergeCell ref="C45:E45"/>
    <mergeCell ref="C50:E50"/>
    <mergeCell ref="C51:E51"/>
    <mergeCell ref="B33:F33"/>
    <mergeCell ref="C25:E25"/>
    <mergeCell ref="C30:E30"/>
    <mergeCell ref="C31:E31"/>
    <mergeCell ref="B9:B10"/>
    <mergeCell ref="C9:F9"/>
    <mergeCell ref="B11:F11"/>
    <mergeCell ref="C16:E16"/>
    <mergeCell ref="C20:E20"/>
  </mergeCells>
  <conditionalFormatting sqref="C16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">
      <colorScale>
        <cfvo type="num" val="0"/>
        <cfvo type="num" val="20"/>
        <color rgb="FFFF0000"/>
        <color rgb="FF00B050"/>
      </colorScale>
    </cfRule>
  </conditionalFormatting>
  <conditionalFormatting sqref="C20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52:F53 F12:F30 F34:F50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6 C20 C25 C30:C31 C39 C45 C50:C51 E12:E15 E17:E19 E21:E24 E26:E29 E34:E38 E40:E44 E46:E49">
    <cfRule type="cellIs" dxfId="2" priority="6" operator="lessThan">
      <formula>10</formula>
    </cfRule>
    <cfRule type="cellIs" dxfId="1" priority="7" operator="greaterThan">
      <formula>9</formula>
    </cfRule>
  </conditionalFormatting>
  <conditionalFormatting sqref="F34:F50 F12:F30">
    <cfRule type="cellIs" dxfId="0" priority="5" operator="greaterThan">
      <formula>0</formula>
    </cfRule>
  </conditionalFormatting>
  <conditionalFormatting sqref="C16 E38 C20 C25 C30:C31 C39 C45 C50:C51 E12:E15 E17:E19 E21:E24 E26:E29 E40:E44 E46:E49">
    <cfRule type="colorScale" priority="1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6 E38 C20 C25 C30:C31 C39 C45 C52:E53 C50:C51 E12:E15 E17:E19 E21:E24 E26:E29 E40:E44 E46:E49">
    <cfRule type="colorScale" priority="1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6 C39 C20 C25 C30:C31 C45 C52:E53 C50:C51 E12:E15 E17:E19 E21:E24 E26:E29 E34:E38 E40:E44 E46:E49">
    <cfRule type="colorScale" priority="1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4:F50 F12:F30">
    <cfRule type="colorScale" priority="1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1" right="1" top="1" bottom="1" header="0.5" footer="0.5"/>
  <pageSetup paperSize="9" scale="90" orientation="portrait" r:id="rId1"/>
  <headerFooter>
    <oddHeader xml:space="preserve">&amp;L
&amp;C&amp;"Arial Black,Normal"&amp;20
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Kézia BE Rosette</dc:creator>
  <cp:keywords>1006</cp:keywords>
  <cp:lastModifiedBy>Kézia BE Rosette</cp:lastModifiedBy>
  <cp:lastPrinted>2025-06-08T07:31:52Z</cp:lastPrinted>
  <dcterms:created xsi:type="dcterms:W3CDTF">2025-06-07T14:27:39Z</dcterms:created>
  <dcterms:modified xsi:type="dcterms:W3CDTF">2026-03-08T10:47:47Z</dcterms:modified>
</cp:coreProperties>
</file>